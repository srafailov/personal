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afailov\Downloads\"/>
    </mc:Choice>
  </mc:AlternateContent>
  <xr:revisionPtr revIDLastSave="0" documentId="13_ncr:1_{F4888DAD-D211-4003-82AA-799F4DB1F152}" xr6:coauthVersionLast="47" xr6:coauthVersionMax="47" xr10:uidLastSave="{00000000-0000-0000-0000-000000000000}"/>
  <bookViews>
    <workbookView xWindow="2772" yWindow="2448" windowWidth="23040" windowHeight="12120" tabRatio="489" activeTab="1" xr2:uid="{D51BF860-4C33-43ED-85F9-33ED0CA98E49}"/>
  </bookViews>
  <sheets>
    <sheet name="Nov - 2025" sheetId="1" r:id="rId1"/>
    <sheet name="Dec - 2025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F20" i="3"/>
  <c r="E20" i="3"/>
  <c r="H21" i="3"/>
  <c r="G15" i="3"/>
  <c r="H15" i="3" s="1"/>
  <c r="G16" i="3"/>
  <c r="H16" i="3" s="1"/>
  <c r="G17" i="3"/>
  <c r="H17" i="3" s="1"/>
  <c r="G18" i="3"/>
  <c r="H18" i="3" s="1"/>
  <c r="G19" i="3"/>
  <c r="H19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G2" i="3"/>
  <c r="H2" i="3" s="1"/>
  <c r="E15" i="1"/>
  <c r="F15" i="1"/>
  <c r="G15" i="1"/>
  <c r="H15" i="1"/>
  <c r="H11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G12" i="1"/>
  <c r="H12" i="1" s="1"/>
  <c r="G13" i="1"/>
  <c r="H13" i="1" s="1"/>
  <c r="G14" i="1"/>
  <c r="H14" i="1" s="1"/>
  <c r="H16" i="1"/>
  <c r="G2" i="1"/>
  <c r="H2" i="1" s="1"/>
  <c r="H20" i="3" l="1"/>
  <c r="H22" i="3" s="1"/>
  <c r="H23" i="3" s="1"/>
  <c r="H17" i="1"/>
  <c r="H18" i="1" s="1"/>
</calcChain>
</file>

<file path=xl/sharedStrings.xml><?xml version="1.0" encoding="utf-8"?>
<sst xmlns="http://schemas.openxmlformats.org/spreadsheetml/2006/main" count="152" uniqueCount="115">
  <si>
    <t>Item Number</t>
  </si>
  <si>
    <t>Item Title</t>
  </si>
  <si>
    <t>Sold For</t>
  </si>
  <si>
    <t>Sale Date</t>
  </si>
  <si>
    <t>Final Sale Amount</t>
  </si>
  <si>
    <t>Shipping</t>
  </si>
  <si>
    <t>EBAY Fees 15%</t>
  </si>
  <si>
    <t>Net Sales</t>
  </si>
  <si>
    <t>Status</t>
  </si>
  <si>
    <t>Total Listing Fees</t>
  </si>
  <si>
    <t>Total Sales after Fees</t>
  </si>
  <si>
    <t>Total Payout</t>
  </si>
  <si>
    <t>Balance as of February 1</t>
  </si>
  <si>
    <t>Payment February 1st</t>
  </si>
  <si>
    <t>Payment April 20</t>
  </si>
  <si>
    <t>Payment August 1st</t>
  </si>
  <si>
    <t>1/15-2/15</t>
  </si>
  <si>
    <t>2/15-3/15</t>
  </si>
  <si>
    <t>3/15-4/15</t>
  </si>
  <si>
    <t>4/15-5/15</t>
  </si>
  <si>
    <t>5/15-6/15</t>
  </si>
  <si>
    <t>6/15-7/15</t>
  </si>
  <si>
    <t>7/15 - 8/15</t>
  </si>
  <si>
    <t>8/15-9/15</t>
  </si>
  <si>
    <t>9/15-10/15</t>
  </si>
  <si>
    <t>Nov-13-25</t>
  </si>
  <si>
    <t>143393696734</t>
  </si>
  <si>
    <t>$2070 LORO PIANA Blue Classic 100% Baby Cashmere Half Zip Sweater 48 Euro Small</t>
  </si>
  <si>
    <t>Nov-12-25</t>
  </si>
  <si>
    <t>143603994274</t>
  </si>
  <si>
    <t>GUCCI Red Jordaan Crocodile Alligator Leather Loafers Shoes 13 US 46 Euro 12 UK</t>
  </si>
  <si>
    <t>133194554942</t>
  </si>
  <si>
    <t>SALVATORE FERRAGAMO Black Crocodile Alligator Leather Shoes 11 US 44 Euro 10 UK</t>
  </si>
  <si>
    <t>Nov-11-25</t>
  </si>
  <si>
    <t>132780403544</t>
  </si>
  <si>
    <t>STEFANO RICCI Bordeaux Nubuck Crocodile Leather Chukka Boots 11 US 44 EU 10 UK</t>
  </si>
  <si>
    <t>Nov-10-25</t>
  </si>
  <si>
    <t>133404197816</t>
  </si>
  <si>
    <t>BRUNELLO CUCINELLI Reversible Tan Gray 100% Cashmere Bomber Jacket 48 EU Small</t>
  </si>
  <si>
    <t>Nov-08-25</t>
  </si>
  <si>
    <t>142913829973</t>
  </si>
  <si>
    <t>$795 RALPH LAUREN PURPLE LABEL Black Jacket Coat Size M Medium</t>
  </si>
  <si>
    <t>133181443473</t>
  </si>
  <si>
    <t xml:space="preserve">$4525 BRIONI Blue Lightweight Reversible Hooded Jacket Hoodie Style Size 3XL </t>
  </si>
  <si>
    <t>Oct-31-25</t>
  </si>
  <si>
    <t>133104936003</t>
  </si>
  <si>
    <t>$1775 LORO PIANA Blue Classic 100% Baby Cashmere Half Zip Sweater 62 Euro 4XL</t>
  </si>
  <si>
    <t>Oct-26-25</t>
  </si>
  <si>
    <t>143586551819</t>
  </si>
  <si>
    <t>LORO PIANA Green Melange Cashmere Padded w/ Suede Storm System Downtown Coat XL</t>
  </si>
  <si>
    <t>Oct-25-25</t>
  </si>
  <si>
    <t>132773211655</t>
  </si>
  <si>
    <t>STEFANO RICCI Blue Deerskin Alligator Crocodile Leather Jacket Coat 52 EU Large</t>
  </si>
  <si>
    <t>Oct-23-25</t>
  </si>
  <si>
    <t>142913900782</t>
  </si>
  <si>
    <t>$895 BRIONI Brown Grain Leather Shoes Loafers Moccasins Size 8 US 41 Euro 7 UK</t>
  </si>
  <si>
    <t>Oct-20-25</t>
  </si>
  <si>
    <t>133392428827</t>
  </si>
  <si>
    <t>LORO PIANA Burgundy Melange Double Cashmere Shirt Jacket with Suede Trim Size XL</t>
  </si>
  <si>
    <t>Oct-18-25</t>
  </si>
  <si>
    <t>142936385388</t>
  </si>
  <si>
    <t>$2400 LORO PIANA Silver Treccia Mezzocollo 100% Baby Cashmere Sweater 48 Euro</t>
  </si>
  <si>
    <t xml:space="preserve">Canceled </t>
  </si>
  <si>
    <t>Returned</t>
  </si>
  <si>
    <t>10/15-11/15</t>
  </si>
  <si>
    <t>adjusted</t>
  </si>
  <si>
    <t>payment 12/05</t>
  </si>
  <si>
    <t>Dec-14-25</t>
  </si>
  <si>
    <t>142938994663</t>
  </si>
  <si>
    <t>$3995 LORO PIANA Bromont Baby Cashmere Shawl Collar Bomber Sweater 62 EU 4XL-5XL</t>
  </si>
  <si>
    <t>133392367647</t>
  </si>
  <si>
    <t>LORO PIANA Gray 100% Baby Cashmere Storm System Jacket Coat Size 52 Euro Large</t>
  </si>
  <si>
    <t>132779301992</t>
  </si>
  <si>
    <t>$2000 STEFANO RICCI Blue Perforated Leather Oxford Shoes 11 US 44 Euro 10 UK</t>
  </si>
  <si>
    <t>133183511626</t>
  </si>
  <si>
    <t>STEFANO RICCI Light Brown Perforated Suede Silver Eagle Shoes 11 US 44 EU 10 UK</t>
  </si>
  <si>
    <t>Dec-13-25</t>
  </si>
  <si>
    <t>132798632491</t>
  </si>
  <si>
    <t>$13450 FREDO FERRUCCI Black 100% Genuine Python Leather Jacket Size 60 Euro 4XL</t>
  </si>
  <si>
    <t>143598068269</t>
  </si>
  <si>
    <t>BRUNELLO CUCINELLI 100% Cashmere Thermore Filled Bomber Jacket 50 Euro Medium</t>
  </si>
  <si>
    <t>143394448697</t>
  </si>
  <si>
    <t>STEFANO RICCI Blue Suede with Silver Eagle Shoes Loafers Size 12 US 45 EU 11 UK</t>
  </si>
  <si>
    <t>Dec-12-25</t>
  </si>
  <si>
    <t>143394622973</t>
  </si>
  <si>
    <t>STEFANO RICCI Limited Edition Blue Hunting Vest with Brown Leather Trim Size 2XL</t>
  </si>
  <si>
    <t>Dec-08-25</t>
  </si>
  <si>
    <t>142944037127</t>
  </si>
  <si>
    <t>STEFANO RICCI Navy Blue Crocodile Leather Rectangular Buckle Belt 34 US 85 CM</t>
  </si>
  <si>
    <t>Dec-05-25</t>
  </si>
  <si>
    <t>133397718693</t>
  </si>
  <si>
    <t>TOM FORD Navy Blue McQueen Shawl Collar Cardigan Pullover Sweater 44 Euro XS</t>
  </si>
  <si>
    <t>Dec-01-25</t>
  </si>
  <si>
    <t>133103932606</t>
  </si>
  <si>
    <t>$8795 LORO PIANA 100% Baby Cashmere ICER Storm System Fur Trim Jacket Coat 3XL</t>
  </si>
  <si>
    <t>Nov-30-25</t>
  </si>
  <si>
    <t>143392547867</t>
  </si>
  <si>
    <t>$4475 BRIONI Blue Crocodile Alligator Leather Shoes Size 10.5 US 43.5 EU 9.5 UK</t>
  </si>
  <si>
    <t>Nov-27-25</t>
  </si>
  <si>
    <t>144036770264</t>
  </si>
  <si>
    <t>$3485 LORO PIANA Gray "Gateway" Baby Cashmere Bomber Jacket Hoodie 56 Euro 2XL</t>
  </si>
  <si>
    <t>Nov-26-25</t>
  </si>
  <si>
    <t>133412024942</t>
  </si>
  <si>
    <t>TOM FORD James Bond Spectre Black Quilted Down Bomber Jacket Size 58 Euro 3XL</t>
  </si>
  <si>
    <t>132754580623</t>
  </si>
  <si>
    <t>BRUNELLO CUCINELLI Gray Thick 100% Cashmere Shawl Collar Cardigan Sweater 52 EU</t>
  </si>
  <si>
    <t>Nov-25-25</t>
  </si>
  <si>
    <t>143606984376</t>
  </si>
  <si>
    <t>$2560 LORO PIANA Blue Treccia Mezzocollo 100% Baby Cashmere Sweater 56 Euro 2XL</t>
  </si>
  <si>
    <t>Nov-19-25</t>
  </si>
  <si>
    <t>132777943434</t>
  </si>
  <si>
    <t>SALVATORE FERRAGAMO Black Crocodile Alligator Leather Shoes 12 US 45 Euro 11 UK</t>
  </si>
  <si>
    <t>Nov-16-25</t>
  </si>
  <si>
    <t>133410360133</t>
  </si>
  <si>
    <t>$3545 BRUNELLO CUCINELLI Gray English Rib 100% Cashmere Cardigan Sweater 52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</si>
</sst>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8" fontId="0" fillId="0" borderId="0" xfId="0" applyNumberFormat="1"/>
    <xf numFmtId="49" fontId="0" fillId="0" borderId="0" xfId="0" applyNumberFormat="1"/>
    <xf numFmtId="0" fontId="16" fillId="33" borderId="10" xfId="0" applyFont="1" applyFill="1" applyBorder="1"/>
    <xf numFmtId="49" fontId="16" fillId="33" borderId="10" xfId="0" applyNumberFormat="1" applyFont="1" applyFill="1" applyBorder="1" applyAlignment="1">
      <alignment wrapText="1"/>
    </xf>
    <xf numFmtId="164" fontId="16" fillId="33" borderId="10" xfId="0" applyNumberFormat="1" applyFont="1" applyFill="1" applyBorder="1"/>
    <xf numFmtId="0" fontId="0" fillId="0" borderId="10" xfId="0" applyBorder="1"/>
    <xf numFmtId="49" fontId="0" fillId="0" borderId="10" xfId="0" applyNumberFormat="1" applyBorder="1"/>
    <xf numFmtId="8" fontId="0" fillId="0" borderId="10" xfId="0" applyNumberFormat="1" applyBorder="1"/>
    <xf numFmtId="164" fontId="0" fillId="0" borderId="10" xfId="0" applyNumberFormat="1" applyBorder="1"/>
    <xf numFmtId="8" fontId="16" fillId="34" borderId="0" xfId="0" applyNumberFormat="1" applyFont="1" applyFill="1"/>
    <xf numFmtId="0" fontId="16" fillId="34" borderId="0" xfId="0" applyFont="1" applyFill="1"/>
    <xf numFmtId="164" fontId="16" fillId="34" borderId="0" xfId="0" applyNumberFormat="1" applyFont="1" applyFill="1"/>
    <xf numFmtId="0" fontId="0" fillId="34" borderId="10" xfId="0" applyFill="1" applyBorder="1"/>
    <xf numFmtId="164" fontId="16" fillId="34" borderId="10" xfId="0" applyNumberFormat="1" applyFont="1" applyFill="1" applyBorder="1"/>
    <xf numFmtId="0" fontId="16" fillId="34" borderId="10" xfId="0" applyFont="1" applyFill="1" applyBorder="1"/>
    <xf numFmtId="0" fontId="0" fillId="34" borderId="0" xfId="0" applyFill="1"/>
    <xf numFmtId="164" fontId="16" fillId="35" borderId="0" xfId="0" applyNumberFormat="1" applyFont="1" applyFill="1"/>
    <xf numFmtId="49" fontId="0" fillId="0" borderId="10" xfId="0" applyNumberFormat="1" applyBorder="1" applyAlignment="1">
      <alignment wrapText="1"/>
    </xf>
    <xf numFmtId="0" fontId="0" fillId="36" borderId="10" xfId="0" applyFill="1" applyBorder="1"/>
    <xf numFmtId="49" fontId="0" fillId="36" borderId="10" xfId="0" applyNumberFormat="1" applyFill="1" applyBorder="1"/>
    <xf numFmtId="8" fontId="0" fillId="36" borderId="10" xfId="0" applyNumberFormat="1" applyFill="1" applyBorder="1"/>
    <xf numFmtId="164" fontId="0" fillId="36" borderId="10" xfId="0" applyNumberFormat="1" applyFill="1" applyBorder="1"/>
    <xf numFmtId="8" fontId="0" fillId="37" borderId="10" xfId="0" applyNumberFormat="1" applyFill="1" applyBorder="1"/>
    <xf numFmtId="164" fontId="0" fillId="37" borderId="10" xfId="0" applyNumberFormat="1" applyFill="1" applyBorder="1"/>
    <xf numFmtId="49" fontId="0" fillId="36" borderId="10" xfId="0" applyNumberFormat="1" applyFill="1" applyBorder="1" applyAlignment="1">
      <alignment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931D-4DAF-47FC-AD44-70962744BB25}">
  <dimension ref="A1:J35"/>
  <sheetViews>
    <sheetView topLeftCell="A4" workbookViewId="0">
      <selection activeCell="E15" sqref="E15:J18"/>
    </sheetView>
  </sheetViews>
  <sheetFormatPr defaultRowHeight="14.4" x14ac:dyDescent="0.3"/>
  <cols>
    <col min="1" max="1" width="12" customWidth="1"/>
    <col min="2" max="2" width="12.88671875" style="2" bestFit="1" customWidth="1"/>
    <col min="3" max="3" width="32.5546875" customWidth="1"/>
    <col min="4" max="4" width="10.5546875" bestFit="1" customWidth="1"/>
    <col min="5" max="5" width="18.77734375" bestFit="1" customWidth="1"/>
    <col min="7" max="7" width="18.21875" bestFit="1" customWidth="1"/>
    <col min="8" max="8" width="9.88671875" bestFit="1" customWidth="1"/>
    <col min="9" max="9" width="9.77734375" bestFit="1" customWidth="1"/>
  </cols>
  <sheetData>
    <row r="1" spans="1:10" x14ac:dyDescent="0.3">
      <c r="A1" s="3" t="s">
        <v>3</v>
      </c>
      <c r="B1" s="4" t="s">
        <v>0</v>
      </c>
      <c r="C1" s="3" t="s">
        <v>1</v>
      </c>
      <c r="D1" s="3" t="s">
        <v>2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</row>
    <row r="2" spans="1:10" x14ac:dyDescent="0.3">
      <c r="A2" s="6" t="s">
        <v>25</v>
      </c>
      <c r="B2" s="7" t="s">
        <v>26</v>
      </c>
      <c r="C2" s="6" t="s">
        <v>27</v>
      </c>
      <c r="D2" s="8">
        <v>995</v>
      </c>
      <c r="E2" s="8">
        <v>995</v>
      </c>
      <c r="F2" s="6">
        <v>25</v>
      </c>
      <c r="G2" s="8">
        <f t="shared" ref="G2:G14" si="0">E2*15%</f>
        <v>149.25</v>
      </c>
      <c r="H2" s="9">
        <f t="shared" ref="H2:H14" si="1">E2-F2-G2</f>
        <v>820.75</v>
      </c>
      <c r="I2" s="6"/>
    </row>
    <row r="3" spans="1:10" x14ac:dyDescent="0.3">
      <c r="A3" s="19" t="s">
        <v>28</v>
      </c>
      <c r="B3" s="20" t="s">
        <v>29</v>
      </c>
      <c r="C3" s="19" t="s">
        <v>30</v>
      </c>
      <c r="D3" s="21">
        <v>2995</v>
      </c>
      <c r="E3" s="21">
        <v>0</v>
      </c>
      <c r="F3" s="19">
        <v>0</v>
      </c>
      <c r="G3" s="21">
        <f t="shared" si="0"/>
        <v>0</v>
      </c>
      <c r="H3" s="22">
        <f t="shared" si="1"/>
        <v>0</v>
      </c>
      <c r="I3" s="19" t="s">
        <v>62</v>
      </c>
    </row>
    <row r="4" spans="1:10" x14ac:dyDescent="0.3">
      <c r="A4" s="6" t="s">
        <v>28</v>
      </c>
      <c r="B4" s="7" t="s">
        <v>31</v>
      </c>
      <c r="C4" s="6" t="s">
        <v>32</v>
      </c>
      <c r="D4" s="8">
        <v>1150</v>
      </c>
      <c r="E4" s="8">
        <v>1150</v>
      </c>
      <c r="F4" s="6">
        <v>25</v>
      </c>
      <c r="G4" s="8">
        <f t="shared" si="0"/>
        <v>172.5</v>
      </c>
      <c r="H4" s="9">
        <f t="shared" si="1"/>
        <v>952.5</v>
      </c>
      <c r="I4" s="6"/>
    </row>
    <row r="5" spans="1:10" x14ac:dyDescent="0.3">
      <c r="A5" s="6" t="s">
        <v>33</v>
      </c>
      <c r="B5" s="7" t="s">
        <v>34</v>
      </c>
      <c r="C5" s="6" t="s">
        <v>35</v>
      </c>
      <c r="D5" s="8">
        <v>2300</v>
      </c>
      <c r="E5" s="8">
        <v>2300</v>
      </c>
      <c r="F5" s="6">
        <v>25</v>
      </c>
      <c r="G5" s="8">
        <f t="shared" si="0"/>
        <v>345</v>
      </c>
      <c r="H5" s="9">
        <f t="shared" si="1"/>
        <v>1930</v>
      </c>
      <c r="I5" s="6"/>
    </row>
    <row r="6" spans="1:10" x14ac:dyDescent="0.3">
      <c r="A6" s="19" t="s">
        <v>36</v>
      </c>
      <c r="B6" s="20" t="s">
        <v>37</v>
      </c>
      <c r="C6" s="19" t="s">
        <v>38</v>
      </c>
      <c r="D6" s="21">
        <v>2250</v>
      </c>
      <c r="E6" s="21">
        <v>0</v>
      </c>
      <c r="F6" s="19">
        <v>25</v>
      </c>
      <c r="G6" s="21">
        <f t="shared" si="0"/>
        <v>0</v>
      </c>
      <c r="H6" s="22">
        <f t="shared" si="1"/>
        <v>-25</v>
      </c>
      <c r="I6" s="19" t="s">
        <v>63</v>
      </c>
    </row>
    <row r="7" spans="1:10" x14ac:dyDescent="0.3">
      <c r="A7" s="6" t="s">
        <v>39</v>
      </c>
      <c r="B7" s="7" t="s">
        <v>40</v>
      </c>
      <c r="C7" s="6" t="s">
        <v>41</v>
      </c>
      <c r="D7" s="8">
        <v>421</v>
      </c>
      <c r="E7" s="8">
        <v>421</v>
      </c>
      <c r="F7" s="6">
        <v>25</v>
      </c>
      <c r="G7" s="8">
        <f t="shared" si="0"/>
        <v>63.15</v>
      </c>
      <c r="H7" s="9">
        <f t="shared" si="1"/>
        <v>332.85</v>
      </c>
      <c r="I7" s="6"/>
    </row>
    <row r="8" spans="1:10" x14ac:dyDescent="0.3">
      <c r="A8" s="19" t="s">
        <v>39</v>
      </c>
      <c r="B8" s="20" t="s">
        <v>42</v>
      </c>
      <c r="C8" s="19" t="s">
        <v>43</v>
      </c>
      <c r="D8" s="21">
        <v>1050</v>
      </c>
      <c r="E8" s="21">
        <v>0</v>
      </c>
      <c r="F8" s="19">
        <v>25</v>
      </c>
      <c r="G8" s="21">
        <f t="shared" si="0"/>
        <v>0</v>
      </c>
      <c r="H8" s="22">
        <f t="shared" si="1"/>
        <v>-25</v>
      </c>
      <c r="I8" s="19" t="s">
        <v>63</v>
      </c>
    </row>
    <row r="9" spans="1:10" x14ac:dyDescent="0.3">
      <c r="A9" s="6" t="s">
        <v>44</v>
      </c>
      <c r="B9" s="7" t="s">
        <v>45</v>
      </c>
      <c r="C9" s="6" t="s">
        <v>46</v>
      </c>
      <c r="D9" s="8">
        <v>1095</v>
      </c>
      <c r="E9" s="8">
        <v>1095</v>
      </c>
      <c r="F9" s="6">
        <v>25</v>
      </c>
      <c r="G9" s="8">
        <f t="shared" si="0"/>
        <v>164.25</v>
      </c>
      <c r="H9" s="9">
        <f t="shared" si="1"/>
        <v>905.75</v>
      </c>
      <c r="I9" s="6"/>
    </row>
    <row r="10" spans="1:10" x14ac:dyDescent="0.3">
      <c r="A10" s="6" t="s">
        <v>47</v>
      </c>
      <c r="B10" s="7" t="s">
        <v>48</v>
      </c>
      <c r="C10" s="6" t="s">
        <v>49</v>
      </c>
      <c r="D10" s="8">
        <v>1995</v>
      </c>
      <c r="E10" s="8">
        <v>1995</v>
      </c>
      <c r="F10" s="6">
        <v>25</v>
      </c>
      <c r="G10" s="8">
        <f t="shared" si="0"/>
        <v>299.25</v>
      </c>
      <c r="H10" s="9">
        <f t="shared" si="1"/>
        <v>1670.75</v>
      </c>
      <c r="I10" s="6"/>
    </row>
    <row r="11" spans="1:10" x14ac:dyDescent="0.3">
      <c r="A11" s="6" t="s">
        <v>50</v>
      </c>
      <c r="B11" s="7" t="s">
        <v>51</v>
      </c>
      <c r="C11" s="6" t="s">
        <v>52</v>
      </c>
      <c r="D11" s="8">
        <v>5000</v>
      </c>
      <c r="E11" s="8">
        <v>5000</v>
      </c>
      <c r="F11" s="6">
        <v>25</v>
      </c>
      <c r="G11" s="8">
        <f t="shared" si="0"/>
        <v>750</v>
      </c>
      <c r="H11" s="9">
        <f t="shared" si="1"/>
        <v>4225</v>
      </c>
      <c r="I11" s="6"/>
    </row>
    <row r="12" spans="1:10" x14ac:dyDescent="0.3">
      <c r="A12" s="6" t="s">
        <v>53</v>
      </c>
      <c r="B12" s="7" t="s">
        <v>54</v>
      </c>
      <c r="C12" s="6" t="s">
        <v>55</v>
      </c>
      <c r="D12" s="8">
        <v>495</v>
      </c>
      <c r="E12" s="8">
        <v>495</v>
      </c>
      <c r="F12" s="6">
        <v>25</v>
      </c>
      <c r="G12" s="8">
        <f t="shared" si="0"/>
        <v>74.25</v>
      </c>
      <c r="H12" s="9">
        <f t="shared" si="1"/>
        <v>395.75</v>
      </c>
      <c r="I12" s="6"/>
    </row>
    <row r="13" spans="1:10" x14ac:dyDescent="0.3">
      <c r="A13" s="6" t="s">
        <v>56</v>
      </c>
      <c r="B13" s="7" t="s">
        <v>57</v>
      </c>
      <c r="C13" s="6" t="s">
        <v>58</v>
      </c>
      <c r="D13" s="8">
        <v>1600</v>
      </c>
      <c r="E13" s="8">
        <v>1600</v>
      </c>
      <c r="F13" s="6">
        <v>25</v>
      </c>
      <c r="G13" s="8">
        <f t="shared" si="0"/>
        <v>240</v>
      </c>
      <c r="H13" s="9">
        <f t="shared" si="1"/>
        <v>1335</v>
      </c>
      <c r="I13" s="6"/>
    </row>
    <row r="14" spans="1:10" x14ac:dyDescent="0.3">
      <c r="A14" s="6" t="s">
        <v>59</v>
      </c>
      <c r="B14" s="7" t="s">
        <v>60</v>
      </c>
      <c r="C14" s="6" t="s">
        <v>61</v>
      </c>
      <c r="D14" s="8">
        <v>1195</v>
      </c>
      <c r="E14" s="8">
        <v>1195</v>
      </c>
      <c r="F14" s="6">
        <v>25</v>
      </c>
      <c r="G14" s="8">
        <f t="shared" si="0"/>
        <v>179.25</v>
      </c>
      <c r="H14" s="9">
        <f t="shared" si="1"/>
        <v>990.75</v>
      </c>
      <c r="I14" s="6"/>
    </row>
    <row r="15" spans="1:10" x14ac:dyDescent="0.3">
      <c r="D15" s="1"/>
      <c r="E15" s="10">
        <f>SUM(E2:E14)</f>
        <v>16246</v>
      </c>
      <c r="F15" s="11">
        <f>SUM(F2:F14)</f>
        <v>300</v>
      </c>
      <c r="G15" s="10">
        <f>SUM(G2:G14)</f>
        <v>2436.9</v>
      </c>
      <c r="H15" s="12">
        <f>SUM(H2:H14)</f>
        <v>13509.1</v>
      </c>
    </row>
    <row r="16" spans="1:10" x14ac:dyDescent="0.3">
      <c r="G16" s="13" t="s">
        <v>9</v>
      </c>
      <c r="H16" s="15">
        <f>(I16*J16) * -1</f>
        <v>-910</v>
      </c>
      <c r="I16">
        <v>364</v>
      </c>
      <c r="J16">
        <v>2.5</v>
      </c>
    </row>
    <row r="17" spans="3:8" x14ac:dyDescent="0.3">
      <c r="G17" s="13" t="s">
        <v>10</v>
      </c>
      <c r="H17" s="14">
        <f>SUM(H15:H16)</f>
        <v>12599.1</v>
      </c>
    </row>
    <row r="18" spans="3:8" x14ac:dyDescent="0.3">
      <c r="G18" s="16" t="s">
        <v>11</v>
      </c>
      <c r="H18" s="17">
        <f>H17 * 5%</f>
        <v>629.95500000000004</v>
      </c>
    </row>
    <row r="21" spans="3:8" x14ac:dyDescent="0.3">
      <c r="C21" s="18" t="s">
        <v>12</v>
      </c>
      <c r="D21" s="9">
        <v>4727.74</v>
      </c>
    </row>
    <row r="22" spans="3:8" x14ac:dyDescent="0.3">
      <c r="C22" s="6" t="s">
        <v>13</v>
      </c>
      <c r="D22" s="9">
        <v>-3000</v>
      </c>
    </row>
    <row r="23" spans="3:8" x14ac:dyDescent="0.3">
      <c r="C23" s="18" t="s">
        <v>14</v>
      </c>
      <c r="D23" s="9">
        <v>-1727.74</v>
      </c>
    </row>
    <row r="24" spans="3:8" x14ac:dyDescent="0.3">
      <c r="C24" s="18" t="s">
        <v>15</v>
      </c>
      <c r="D24" s="9">
        <v>-1500</v>
      </c>
    </row>
    <row r="25" spans="3:8" x14ac:dyDescent="0.3">
      <c r="C25" s="18" t="s">
        <v>16</v>
      </c>
      <c r="D25" s="9">
        <v>676.69</v>
      </c>
    </row>
    <row r="26" spans="3:8" x14ac:dyDescent="0.3">
      <c r="C26" s="18" t="s">
        <v>17</v>
      </c>
      <c r="D26" s="9">
        <v>670.37</v>
      </c>
    </row>
    <row r="27" spans="3:8" x14ac:dyDescent="0.3">
      <c r="C27" s="18" t="s">
        <v>18</v>
      </c>
      <c r="D27" s="9">
        <v>1220.32</v>
      </c>
    </row>
    <row r="28" spans="3:8" x14ac:dyDescent="0.3">
      <c r="C28" s="18" t="s">
        <v>19</v>
      </c>
      <c r="D28" s="9">
        <v>352.07</v>
      </c>
    </row>
    <row r="29" spans="3:8" x14ac:dyDescent="0.3">
      <c r="C29" s="18" t="s">
        <v>20</v>
      </c>
      <c r="D29" s="9">
        <v>689.42</v>
      </c>
    </row>
    <row r="30" spans="3:8" x14ac:dyDescent="0.3">
      <c r="C30" s="18" t="s">
        <v>21</v>
      </c>
      <c r="D30" s="9">
        <v>346.01</v>
      </c>
    </row>
    <row r="31" spans="3:8" x14ac:dyDescent="0.3">
      <c r="C31" s="18" t="s">
        <v>22</v>
      </c>
      <c r="D31" s="9">
        <v>751.51</v>
      </c>
    </row>
    <row r="32" spans="3:8" x14ac:dyDescent="0.3">
      <c r="C32" s="18" t="s">
        <v>23</v>
      </c>
      <c r="D32" s="9">
        <v>588.65</v>
      </c>
    </row>
    <row r="33" spans="3:5" x14ac:dyDescent="0.3">
      <c r="C33" s="18" t="s">
        <v>24</v>
      </c>
      <c r="D33" s="9">
        <v>526.26</v>
      </c>
    </row>
    <row r="34" spans="3:5" x14ac:dyDescent="0.3">
      <c r="C34" s="18" t="s">
        <v>64</v>
      </c>
      <c r="D34" s="9">
        <v>583.41</v>
      </c>
      <c r="E34" t="s">
        <v>65</v>
      </c>
    </row>
    <row r="35" spans="3:5" x14ac:dyDescent="0.3">
      <c r="C35" s="18" t="s">
        <v>66</v>
      </c>
      <c r="D35" s="9">
        <v>-2212.4299999999998</v>
      </c>
    </row>
  </sheetData>
  <phoneticPr fontId="18" type="noConversion"/>
  <pageMargins left="0.7" right="0.7" top="0.75" bottom="0.75" header="0.3" footer="0.3"/>
  <headerFooter>
    <oddFooter>&amp;L_x000D_&amp;1#&amp;"Aptos"&amp;10&amp;K000000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6CA9-0330-40D2-BC59-61955E8AB06B}">
  <dimension ref="A1:J38"/>
  <sheetViews>
    <sheetView tabSelected="1" topLeftCell="A7" workbookViewId="0">
      <selection activeCell="E35" sqref="E35"/>
    </sheetView>
  </sheetViews>
  <sheetFormatPr defaultRowHeight="14.4" x14ac:dyDescent="0.3"/>
  <cols>
    <col min="1" max="1" width="12" customWidth="1"/>
    <col min="2" max="2" width="12.88671875" style="2" bestFit="1" customWidth="1"/>
    <col min="3" max="3" width="73.6640625" bestFit="1" customWidth="1"/>
    <col min="4" max="4" width="10.5546875" bestFit="1" customWidth="1"/>
    <col min="5" max="5" width="18.77734375" bestFit="1" customWidth="1"/>
    <col min="7" max="7" width="18.21875" bestFit="1" customWidth="1"/>
    <col min="8" max="8" width="9.88671875" bestFit="1" customWidth="1"/>
    <col min="9" max="9" width="9.77734375" bestFit="1" customWidth="1"/>
  </cols>
  <sheetData>
    <row r="1" spans="1:9" x14ac:dyDescent="0.3">
      <c r="A1" s="3" t="s">
        <v>3</v>
      </c>
      <c r="B1" s="4" t="s">
        <v>0</v>
      </c>
      <c r="C1" s="3" t="s">
        <v>1</v>
      </c>
      <c r="D1" s="3" t="s">
        <v>2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</row>
    <row r="2" spans="1:9" x14ac:dyDescent="0.3">
      <c r="A2" s="6" t="s">
        <v>67</v>
      </c>
      <c r="B2" s="7" t="s">
        <v>68</v>
      </c>
      <c r="C2" s="6" t="s">
        <v>69</v>
      </c>
      <c r="D2" s="8">
        <v>1900</v>
      </c>
      <c r="E2" s="8">
        <v>1900</v>
      </c>
      <c r="F2" s="6">
        <v>30</v>
      </c>
      <c r="G2" s="23">
        <f t="shared" ref="G2:G14" si="0">E2*15%</f>
        <v>285</v>
      </c>
      <c r="H2" s="24">
        <f t="shared" ref="H2:H14" si="1">E2-F2-G2</f>
        <v>1585</v>
      </c>
      <c r="I2" s="6"/>
    </row>
    <row r="3" spans="1:9" x14ac:dyDescent="0.3">
      <c r="A3" s="6" t="s">
        <v>67</v>
      </c>
      <c r="B3" s="7" t="s">
        <v>70</v>
      </c>
      <c r="C3" s="6" t="s">
        <v>71</v>
      </c>
      <c r="D3" s="8">
        <v>3200</v>
      </c>
      <c r="E3" s="8">
        <v>3200</v>
      </c>
      <c r="F3" s="6">
        <v>30</v>
      </c>
      <c r="G3" s="23">
        <f t="shared" si="0"/>
        <v>480</v>
      </c>
      <c r="H3" s="24">
        <f t="shared" si="1"/>
        <v>2690</v>
      </c>
      <c r="I3" s="6"/>
    </row>
    <row r="4" spans="1:9" x14ac:dyDescent="0.3">
      <c r="A4" s="6" t="s">
        <v>67</v>
      </c>
      <c r="B4" s="7" t="s">
        <v>72</v>
      </c>
      <c r="C4" s="6" t="s">
        <v>73</v>
      </c>
      <c r="D4" s="8">
        <v>745</v>
      </c>
      <c r="E4" s="8">
        <v>745</v>
      </c>
      <c r="F4" s="6">
        <v>30</v>
      </c>
      <c r="G4" s="23">
        <f t="shared" si="0"/>
        <v>111.75</v>
      </c>
      <c r="H4" s="24">
        <f t="shared" si="1"/>
        <v>603.25</v>
      </c>
      <c r="I4" s="6"/>
    </row>
    <row r="5" spans="1:9" x14ac:dyDescent="0.3">
      <c r="A5" s="6" t="s">
        <v>67</v>
      </c>
      <c r="B5" s="7" t="s">
        <v>74</v>
      </c>
      <c r="C5" s="6" t="s">
        <v>75</v>
      </c>
      <c r="D5" s="8">
        <v>895</v>
      </c>
      <c r="E5" s="8">
        <v>895</v>
      </c>
      <c r="F5" s="6">
        <v>30</v>
      </c>
      <c r="G5" s="23">
        <f t="shared" si="0"/>
        <v>134.25</v>
      </c>
      <c r="H5" s="24">
        <f t="shared" si="1"/>
        <v>730.75</v>
      </c>
      <c r="I5" s="6"/>
    </row>
    <row r="6" spans="1:9" x14ac:dyDescent="0.3">
      <c r="A6" s="6" t="s">
        <v>76</v>
      </c>
      <c r="B6" s="7" t="s">
        <v>77</v>
      </c>
      <c r="C6" s="6" t="s">
        <v>78</v>
      </c>
      <c r="D6" s="8">
        <v>2695</v>
      </c>
      <c r="E6" s="8">
        <v>2695</v>
      </c>
      <c r="F6" s="6">
        <v>30</v>
      </c>
      <c r="G6" s="23">
        <f t="shared" si="0"/>
        <v>404.25</v>
      </c>
      <c r="H6" s="24">
        <f t="shared" si="1"/>
        <v>2260.75</v>
      </c>
      <c r="I6" s="6"/>
    </row>
    <row r="7" spans="1:9" x14ac:dyDescent="0.3">
      <c r="A7" s="6" t="s">
        <v>76</v>
      </c>
      <c r="B7" s="7" t="s">
        <v>79</v>
      </c>
      <c r="C7" s="6" t="s">
        <v>80</v>
      </c>
      <c r="D7" s="8">
        <v>2795</v>
      </c>
      <c r="E7" s="8">
        <v>2795</v>
      </c>
      <c r="F7" s="6">
        <v>30</v>
      </c>
      <c r="G7" s="23">
        <f t="shared" si="0"/>
        <v>419.25</v>
      </c>
      <c r="H7" s="24">
        <f t="shared" si="1"/>
        <v>2345.75</v>
      </c>
      <c r="I7" s="6"/>
    </row>
    <row r="8" spans="1:9" x14ac:dyDescent="0.3">
      <c r="A8" s="6" t="s">
        <v>76</v>
      </c>
      <c r="B8" s="7" t="s">
        <v>81</v>
      </c>
      <c r="C8" s="6" t="s">
        <v>82</v>
      </c>
      <c r="D8" s="8">
        <v>895</v>
      </c>
      <c r="E8" s="8">
        <v>895</v>
      </c>
      <c r="F8" s="6">
        <v>30</v>
      </c>
      <c r="G8" s="23">
        <f t="shared" si="0"/>
        <v>134.25</v>
      </c>
      <c r="H8" s="24">
        <f t="shared" si="1"/>
        <v>730.75</v>
      </c>
      <c r="I8" s="6"/>
    </row>
    <row r="9" spans="1:9" x14ac:dyDescent="0.3">
      <c r="A9" s="6" t="s">
        <v>83</v>
      </c>
      <c r="B9" s="7" t="s">
        <v>84</v>
      </c>
      <c r="C9" s="6" t="s">
        <v>85</v>
      </c>
      <c r="D9" s="8">
        <v>1450</v>
      </c>
      <c r="E9" s="8">
        <v>1450</v>
      </c>
      <c r="F9" s="6">
        <v>30</v>
      </c>
      <c r="G9" s="23">
        <f t="shared" si="0"/>
        <v>217.5</v>
      </c>
      <c r="H9" s="24">
        <f t="shared" si="1"/>
        <v>1202.5</v>
      </c>
      <c r="I9" s="6"/>
    </row>
    <row r="10" spans="1:9" x14ac:dyDescent="0.3">
      <c r="A10" s="6" t="s">
        <v>86</v>
      </c>
      <c r="B10" s="7" t="s">
        <v>87</v>
      </c>
      <c r="C10" s="6" t="s">
        <v>88</v>
      </c>
      <c r="D10" s="8">
        <v>1800</v>
      </c>
      <c r="E10" s="8">
        <v>1800</v>
      </c>
      <c r="F10" s="6">
        <v>30</v>
      </c>
      <c r="G10" s="23">
        <f t="shared" si="0"/>
        <v>270</v>
      </c>
      <c r="H10" s="24">
        <f t="shared" si="1"/>
        <v>1500</v>
      </c>
      <c r="I10" s="6"/>
    </row>
    <row r="11" spans="1:9" x14ac:dyDescent="0.3">
      <c r="A11" s="6" t="s">
        <v>89</v>
      </c>
      <c r="B11" s="7" t="s">
        <v>90</v>
      </c>
      <c r="C11" s="6" t="s">
        <v>91</v>
      </c>
      <c r="D11" s="8">
        <v>1495</v>
      </c>
      <c r="E11" s="8">
        <v>1495</v>
      </c>
      <c r="F11" s="6">
        <v>30</v>
      </c>
      <c r="G11" s="8">
        <f t="shared" si="0"/>
        <v>224.25</v>
      </c>
      <c r="H11" s="9">
        <f t="shared" si="1"/>
        <v>1240.75</v>
      </c>
      <c r="I11" s="6"/>
    </row>
    <row r="12" spans="1:9" x14ac:dyDescent="0.3">
      <c r="A12" s="6" t="s">
        <v>92</v>
      </c>
      <c r="B12" s="7" t="s">
        <v>93</v>
      </c>
      <c r="C12" s="6" t="s">
        <v>94</v>
      </c>
      <c r="D12" s="8">
        <v>4195</v>
      </c>
      <c r="E12" s="8">
        <v>4195</v>
      </c>
      <c r="F12" s="6">
        <v>30</v>
      </c>
      <c r="G12" s="8">
        <f t="shared" si="0"/>
        <v>629.25</v>
      </c>
      <c r="H12" s="9">
        <f t="shared" si="1"/>
        <v>3535.75</v>
      </c>
      <c r="I12" s="6"/>
    </row>
    <row r="13" spans="1:9" x14ac:dyDescent="0.3">
      <c r="A13" s="6" t="s">
        <v>95</v>
      </c>
      <c r="B13" s="7" t="s">
        <v>96</v>
      </c>
      <c r="C13" s="6" t="s">
        <v>97</v>
      </c>
      <c r="D13" s="8">
        <v>1500</v>
      </c>
      <c r="E13" s="8">
        <v>1500</v>
      </c>
      <c r="F13" s="6">
        <v>30</v>
      </c>
      <c r="G13" s="8">
        <f t="shared" si="0"/>
        <v>225</v>
      </c>
      <c r="H13" s="9">
        <f t="shared" si="1"/>
        <v>1245</v>
      </c>
      <c r="I13" s="6"/>
    </row>
    <row r="14" spans="1:9" x14ac:dyDescent="0.3">
      <c r="A14" s="6" t="s">
        <v>98</v>
      </c>
      <c r="B14" s="7" t="s">
        <v>99</v>
      </c>
      <c r="C14" s="6" t="s">
        <v>100</v>
      </c>
      <c r="D14" s="8">
        <v>1545</v>
      </c>
      <c r="E14" s="8">
        <v>1545</v>
      </c>
      <c r="F14" s="6">
        <v>30</v>
      </c>
      <c r="G14" s="8">
        <f t="shared" si="0"/>
        <v>231.75</v>
      </c>
      <c r="H14" s="9">
        <f t="shared" si="1"/>
        <v>1283.25</v>
      </c>
      <c r="I14" s="6"/>
    </row>
    <row r="15" spans="1:9" x14ac:dyDescent="0.3">
      <c r="A15" s="6" t="s">
        <v>101</v>
      </c>
      <c r="B15" s="7" t="s">
        <v>102</v>
      </c>
      <c r="C15" s="6" t="s">
        <v>103</v>
      </c>
      <c r="D15" s="8">
        <v>2995</v>
      </c>
      <c r="E15" s="8">
        <v>2995</v>
      </c>
      <c r="F15" s="6">
        <v>30</v>
      </c>
      <c r="G15" s="8">
        <f t="shared" ref="G15:G19" si="2">E15*15%</f>
        <v>449.25</v>
      </c>
      <c r="H15" s="9">
        <f t="shared" ref="H15:H19" si="3">E15-F15-G15</f>
        <v>2515.75</v>
      </c>
      <c r="I15" s="6"/>
    </row>
    <row r="16" spans="1:9" x14ac:dyDescent="0.3">
      <c r="A16" s="6" t="s">
        <v>101</v>
      </c>
      <c r="B16" s="7" t="s">
        <v>104</v>
      </c>
      <c r="C16" s="6" t="s">
        <v>105</v>
      </c>
      <c r="D16" s="8">
        <v>1995</v>
      </c>
      <c r="E16" s="8">
        <v>1995</v>
      </c>
      <c r="F16" s="6">
        <v>30</v>
      </c>
      <c r="G16" s="8">
        <f t="shared" si="2"/>
        <v>299.25</v>
      </c>
      <c r="H16" s="9">
        <f t="shared" si="3"/>
        <v>1665.75</v>
      </c>
      <c r="I16" s="6"/>
    </row>
    <row r="17" spans="1:10" x14ac:dyDescent="0.3">
      <c r="A17" s="6" t="s">
        <v>106</v>
      </c>
      <c r="B17" s="7" t="s">
        <v>107</v>
      </c>
      <c r="C17" s="6" t="s">
        <v>108</v>
      </c>
      <c r="D17" s="8">
        <v>1195</v>
      </c>
      <c r="E17" s="8">
        <v>1195</v>
      </c>
      <c r="F17" s="6">
        <v>30</v>
      </c>
      <c r="G17" s="8">
        <f t="shared" si="2"/>
        <v>179.25</v>
      </c>
      <c r="H17" s="9">
        <f t="shared" si="3"/>
        <v>985.75</v>
      </c>
      <c r="I17" s="6"/>
    </row>
    <row r="18" spans="1:10" x14ac:dyDescent="0.3">
      <c r="A18" s="6" t="s">
        <v>109</v>
      </c>
      <c r="B18" s="7" t="s">
        <v>110</v>
      </c>
      <c r="C18" s="6" t="s">
        <v>111</v>
      </c>
      <c r="D18" s="8">
        <v>1184</v>
      </c>
      <c r="E18" s="8">
        <v>1184</v>
      </c>
      <c r="F18" s="6">
        <v>30</v>
      </c>
      <c r="G18" s="8">
        <f t="shared" si="2"/>
        <v>177.6</v>
      </c>
      <c r="H18" s="9">
        <f t="shared" si="3"/>
        <v>976.4</v>
      </c>
      <c r="I18" s="6"/>
    </row>
    <row r="19" spans="1:10" x14ac:dyDescent="0.3">
      <c r="A19" s="6" t="s">
        <v>112</v>
      </c>
      <c r="B19" s="7" t="s">
        <v>113</v>
      </c>
      <c r="C19" s="6" t="s">
        <v>114</v>
      </c>
      <c r="D19" s="8">
        <v>1150</v>
      </c>
      <c r="E19" s="8">
        <v>1150</v>
      </c>
      <c r="F19" s="6">
        <v>30</v>
      </c>
      <c r="G19" s="8">
        <f t="shared" si="2"/>
        <v>172.5</v>
      </c>
      <c r="H19" s="9">
        <f t="shared" si="3"/>
        <v>947.5</v>
      </c>
      <c r="I19" s="6"/>
    </row>
    <row r="20" spans="1:10" x14ac:dyDescent="0.3">
      <c r="E20" s="10">
        <f>SUM(E2:E19)</f>
        <v>33629</v>
      </c>
      <c r="F20" s="11">
        <f>SUM(F2:F19)</f>
        <v>540</v>
      </c>
      <c r="G20" s="10">
        <f>SUM(G2:G19)</f>
        <v>5044.3500000000004</v>
      </c>
      <c r="H20" s="12">
        <f>SUM(H2:H19)</f>
        <v>28044.65</v>
      </c>
    </row>
    <row r="21" spans="1:10" x14ac:dyDescent="0.3">
      <c r="G21" s="13" t="s">
        <v>9</v>
      </c>
      <c r="H21" s="15">
        <f>(I21*J21) * -1</f>
        <v>-910</v>
      </c>
      <c r="I21">
        <v>364</v>
      </c>
      <c r="J21">
        <v>2.5</v>
      </c>
    </row>
    <row r="22" spans="1:10" x14ac:dyDescent="0.3">
      <c r="G22" s="13" t="s">
        <v>10</v>
      </c>
      <c r="H22" s="14">
        <f>SUM(H20:H21)</f>
        <v>27134.65</v>
      </c>
    </row>
    <row r="23" spans="1:10" x14ac:dyDescent="0.3">
      <c r="G23" s="16" t="s">
        <v>11</v>
      </c>
      <c r="H23" s="17">
        <f>H22 * 5%</f>
        <v>1356.7325000000001</v>
      </c>
    </row>
    <row r="24" spans="1:10" x14ac:dyDescent="0.3">
      <c r="C24" s="18" t="s">
        <v>12</v>
      </c>
      <c r="D24" s="9">
        <v>4727.74</v>
      </c>
    </row>
    <row r="25" spans="1:10" x14ac:dyDescent="0.3">
      <c r="C25" s="6" t="s">
        <v>13</v>
      </c>
      <c r="D25" s="9">
        <v>-3000</v>
      </c>
    </row>
    <row r="26" spans="1:10" x14ac:dyDescent="0.3">
      <c r="C26" s="18" t="s">
        <v>14</v>
      </c>
      <c r="D26" s="9">
        <v>-1727.74</v>
      </c>
    </row>
    <row r="27" spans="1:10" x14ac:dyDescent="0.3">
      <c r="C27" s="18" t="s">
        <v>15</v>
      </c>
      <c r="D27" s="9">
        <v>-1500</v>
      </c>
    </row>
    <row r="28" spans="1:10" x14ac:dyDescent="0.3">
      <c r="C28" s="18" t="s">
        <v>16</v>
      </c>
      <c r="D28" s="9">
        <v>676.69</v>
      </c>
    </row>
    <row r="29" spans="1:10" x14ac:dyDescent="0.3">
      <c r="C29" s="18" t="s">
        <v>17</v>
      </c>
      <c r="D29" s="9">
        <v>670.37</v>
      </c>
    </row>
    <row r="30" spans="1:10" x14ac:dyDescent="0.3">
      <c r="C30" s="18" t="s">
        <v>18</v>
      </c>
      <c r="D30" s="9">
        <v>1220.32</v>
      </c>
    </row>
    <row r="31" spans="1:10" x14ac:dyDescent="0.3">
      <c r="C31" s="18" t="s">
        <v>19</v>
      </c>
      <c r="D31" s="9">
        <v>352.07</v>
      </c>
    </row>
    <row r="32" spans="1:10" x14ac:dyDescent="0.3">
      <c r="C32" s="18" t="s">
        <v>20</v>
      </c>
      <c r="D32" s="9">
        <v>689.42</v>
      </c>
    </row>
    <row r="33" spans="3:5" x14ac:dyDescent="0.3">
      <c r="C33" s="18" t="s">
        <v>21</v>
      </c>
      <c r="D33" s="9">
        <v>346.01</v>
      </c>
    </row>
    <row r="34" spans="3:5" x14ac:dyDescent="0.3">
      <c r="C34" s="18" t="s">
        <v>22</v>
      </c>
      <c r="D34" s="9">
        <v>751.51</v>
      </c>
    </row>
    <row r="35" spans="3:5" x14ac:dyDescent="0.3">
      <c r="C35" s="18" t="s">
        <v>23</v>
      </c>
      <c r="D35" s="9">
        <v>588.65</v>
      </c>
    </row>
    <row r="36" spans="3:5" x14ac:dyDescent="0.3">
      <c r="C36" s="18" t="s">
        <v>24</v>
      </c>
      <c r="D36" s="9">
        <v>526.26</v>
      </c>
    </row>
    <row r="37" spans="3:5" x14ac:dyDescent="0.3">
      <c r="C37" s="25" t="s">
        <v>64</v>
      </c>
      <c r="D37" s="22">
        <v>583.41</v>
      </c>
      <c r="E37" s="26" t="s">
        <v>65</v>
      </c>
    </row>
    <row r="38" spans="3:5" x14ac:dyDescent="0.3">
      <c r="C38" s="18" t="s">
        <v>66</v>
      </c>
      <c r="D38" s="9">
        <v>-2212.4299999999998</v>
      </c>
    </row>
  </sheetData>
  <pageMargins left="0.7" right="0.7" top="0.75" bottom="0.75" header="0.3" footer="0.3"/>
  <headerFooter>
    <oddFooter>&amp;L_x000D_&amp;1#&amp;"Aptos"&amp;10&amp;K000000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AD03E-C66D-49B5-BE8F-5122BECDCB5A}">
  <dimension ref="A1"/>
  <sheetViews>
    <sheetView workbookViewId="0"/>
  </sheetViews>
  <sheetFormatPr defaultRowHeight="14.4" x14ac:dyDescent="0.3"/>
  <sheetData/>
  <pageMargins left="0.7" right="0.7" top="0.75" bottom="0.75" header="0.3" footer="0.3"/>
  <headerFooter>
    <oddFooter>&amp;L_x000D_&amp;1#&amp;"Aptos"&amp;10&amp;K000000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Nov - 2025</vt:lpstr>
      <vt:lpstr>Dec - 2025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Rafailov, Sam</cp:lastModifiedBy>
  <dcterms:created xsi:type="dcterms:W3CDTF">2025-10-20T21:15:02Z</dcterms:created>
  <dcterms:modified xsi:type="dcterms:W3CDTF">2025-12-25T16:36:39Z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a4e946-8729-44db-9533-8e74969be952_Enabled">
    <vt:lpwstr>true</vt:lpwstr>
  </property>
  <property fmtid="{D5CDD505-2E9C-101B-9397-08002B2CF9AE}" pid="3" name="MSIP_Label_f8a4e946-8729-44db-9533-8e74969be952_SetDate">
    <vt:lpwstr>2025-12-07T14:54:45Z</vt:lpwstr>
  </property>
  <property fmtid="{D5CDD505-2E9C-101B-9397-08002B2CF9AE}" pid="4" name="MSIP_Label_f8a4e946-8729-44db-9533-8e74969be952_Method">
    <vt:lpwstr>Standard</vt:lpwstr>
  </property>
  <property fmtid="{D5CDD505-2E9C-101B-9397-08002B2CF9AE}" pid="5" name="MSIP_Label_f8a4e946-8729-44db-9533-8e74969be952_Name">
    <vt:lpwstr>Restricted</vt:lpwstr>
  </property>
  <property fmtid="{D5CDD505-2E9C-101B-9397-08002B2CF9AE}" pid="6" name="MSIP_Label_f8a4e946-8729-44db-9533-8e74969be952_SiteId">
    <vt:lpwstr>ca56a4a5-e300-406a-98ff-7e36a0baac5b</vt:lpwstr>
  </property>
  <property fmtid="{D5CDD505-2E9C-101B-9397-08002B2CF9AE}" pid="7" name="MSIP_Label_f8a4e946-8729-44db-9533-8e74969be952_ActionId">
    <vt:lpwstr>b9bb2954-623c-4752-98d1-1fb5158bbed3</vt:lpwstr>
  </property>
  <property fmtid="{D5CDD505-2E9C-101B-9397-08002B2CF9AE}" pid="8" name="MSIP_Label_f8a4e946-8729-44db-9533-8e74969be952_ContentBits">
    <vt:lpwstr>2</vt:lpwstr>
  </property>
  <property fmtid="{D5CDD505-2E9C-101B-9397-08002B2CF9AE}" pid="9" name="MSIP_Label_f8a4e946-8729-44db-9533-8e74969be952_Tag">
    <vt:lpwstr>10, 3, 0, 1</vt:lpwstr>
  </property>
</Properties>
</file>